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uno\OneDrive\Desktop\Laboratorio 3 - S&amp;S\Actividad 2\"/>
    </mc:Choice>
  </mc:AlternateContent>
  <xr:revisionPtr revIDLastSave="0" documentId="13_ncr:1_{7622996A-6D87-48B6-8CDA-74EC7C469611}" xr6:coauthVersionLast="47" xr6:coauthVersionMax="47" xr10:uidLastSave="{00000000-0000-0000-0000-000000000000}"/>
  <bookViews>
    <workbookView xWindow="-98" yWindow="-98" windowWidth="21795" windowHeight="12975" xr2:uid="{0B2D082E-C144-491D-AA07-B3F545B7F78F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" l="1"/>
  <c r="E5" i="1" s="1"/>
  <c r="L11" i="1"/>
  <c r="K11" i="1" s="1"/>
  <c r="L12" i="1"/>
  <c r="K12" i="1" s="1"/>
  <c r="L13" i="1"/>
  <c r="K13" i="1" s="1"/>
  <c r="L14" i="1"/>
  <c r="K14" i="1" s="1"/>
  <c r="J11" i="1"/>
  <c r="J12" i="1"/>
  <c r="J13" i="1"/>
  <c r="J14" i="1"/>
  <c r="I6" i="1"/>
  <c r="J6" i="1" s="1"/>
  <c r="I7" i="1"/>
  <c r="J7" i="1" s="1"/>
  <c r="I8" i="1"/>
  <c r="J8" i="1" s="1"/>
  <c r="I9" i="1"/>
  <c r="J9" i="1" s="1"/>
  <c r="I10" i="1"/>
  <c r="L10" i="1" s="1"/>
  <c r="K10" i="1" s="1"/>
  <c r="I11" i="1"/>
  <c r="I12" i="1"/>
  <c r="I13" i="1"/>
  <c r="I14" i="1"/>
  <c r="C6" i="1"/>
  <c r="F6" i="1" s="1"/>
  <c r="E6" i="1" s="1"/>
  <c r="C7" i="1"/>
  <c r="F7" i="1" s="1"/>
  <c r="E7" i="1" s="1"/>
  <c r="C8" i="1"/>
  <c r="F8" i="1" s="1"/>
  <c r="E8" i="1" s="1"/>
  <c r="C9" i="1"/>
  <c r="F9" i="1" s="1"/>
  <c r="E9" i="1" s="1"/>
  <c r="C10" i="1"/>
  <c r="F10" i="1" s="1"/>
  <c r="E10" i="1" s="1"/>
  <c r="C11" i="1"/>
  <c r="D11" i="1" s="1"/>
  <c r="C12" i="1"/>
  <c r="D12" i="1" s="1"/>
  <c r="C13" i="1"/>
  <c r="D13" i="1" s="1"/>
  <c r="C14" i="1"/>
  <c r="D14" i="1" s="1"/>
  <c r="I5" i="1"/>
  <c r="J5" i="1" s="1"/>
  <c r="C5" i="1"/>
  <c r="D5" i="1" s="1"/>
  <c r="L9" i="1" l="1"/>
  <c r="K9" i="1" s="1"/>
  <c r="F14" i="1"/>
  <c r="E14" i="1" s="1"/>
  <c r="L8" i="1"/>
  <c r="K8" i="1" s="1"/>
  <c r="F13" i="1"/>
  <c r="E13" i="1" s="1"/>
  <c r="L7" i="1"/>
  <c r="K7" i="1" s="1"/>
  <c r="F12" i="1"/>
  <c r="E12" i="1" s="1"/>
  <c r="L6" i="1"/>
  <c r="K6" i="1" s="1"/>
  <c r="J10" i="1"/>
  <c r="F11" i="1"/>
  <c r="E11" i="1" s="1"/>
  <c r="L5" i="1"/>
  <c r="K5" i="1" s="1"/>
  <c r="D10" i="1"/>
  <c r="D9" i="1"/>
  <c r="D8" i="1"/>
  <c r="D7" i="1"/>
  <c r="D6" i="1"/>
</calcChain>
</file>

<file path=xl/sharedStrings.xml><?xml version="1.0" encoding="utf-8"?>
<sst xmlns="http://schemas.openxmlformats.org/spreadsheetml/2006/main" count="77" uniqueCount="51">
  <si>
    <t>Tabla 1:</t>
  </si>
  <si>
    <t>f[Hz]</t>
  </si>
  <si>
    <t>ꞷ[rad/s]</t>
  </si>
  <si>
    <r>
      <t>|H(</t>
    </r>
    <r>
      <rPr>
        <sz val="11"/>
        <color theme="1"/>
        <rFont val="Aptos Narrow"/>
        <family val="2"/>
      </rPr>
      <t>Ϳꞷ</t>
    </r>
    <r>
      <rPr>
        <sz val="11"/>
        <color theme="1"/>
        <rFont val="Aptos Narrow"/>
        <family val="2"/>
        <scheme val="minor"/>
      </rPr>
      <t>)|</t>
    </r>
  </si>
  <si>
    <t>φ=argH(Ϳꞷ)[rad]</t>
  </si>
  <si>
    <t>φ/ꞷ[s]</t>
  </si>
  <si>
    <t>Tabla 2:</t>
  </si>
  <si>
    <t>A entrada [V]</t>
  </si>
  <si>
    <t>A salida [V]</t>
  </si>
  <si>
    <t>Delay [S]</t>
  </si>
  <si>
    <t>R</t>
  </si>
  <si>
    <t>C</t>
  </si>
  <si>
    <t>0000</t>
  </si>
  <si>
    <t>0001</t>
  </si>
  <si>
    <t>0003</t>
  </si>
  <si>
    <t>0005</t>
  </si>
  <si>
    <t>0006</t>
  </si>
  <si>
    <t>0007</t>
  </si>
  <si>
    <t>0008</t>
  </si>
  <si>
    <t>0009</t>
  </si>
  <si>
    <t>1m</t>
  </si>
  <si>
    <t>400u</t>
  </si>
  <si>
    <t>0010</t>
  </si>
  <si>
    <t>0011</t>
  </si>
  <si>
    <t>0012</t>
  </si>
  <si>
    <t>0013</t>
  </si>
  <si>
    <t>0014</t>
  </si>
  <si>
    <t>A mano</t>
  </si>
  <si>
    <t>500u</t>
  </si>
  <si>
    <t xml:space="preserve"> 0004</t>
  </si>
  <si>
    <t>980m</t>
  </si>
  <si>
    <t>foto(0001)</t>
  </si>
  <si>
    <t>360u</t>
  </si>
  <si>
    <t>840m</t>
  </si>
  <si>
    <t>528m</t>
  </si>
  <si>
    <t>240u</t>
  </si>
  <si>
    <t>180u</t>
  </si>
  <si>
    <t>296m</t>
  </si>
  <si>
    <t>168m</t>
  </si>
  <si>
    <t>84u</t>
  </si>
  <si>
    <t>104m</t>
  </si>
  <si>
    <t>24u</t>
  </si>
  <si>
    <t>0015</t>
  </si>
  <si>
    <t>0016</t>
  </si>
  <si>
    <t>0017</t>
  </si>
  <si>
    <t>0018</t>
  </si>
  <si>
    <t>0019</t>
  </si>
  <si>
    <t>0020</t>
  </si>
  <si>
    <t xml:space="preserve">A mano </t>
  </si>
  <si>
    <t>Delay[S]</t>
  </si>
  <si>
    <t>|H(Ϳꞷ)|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</si>
</sst>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badi"/>
      <family val="2"/>
      <charset val="1"/>
    </font>
    <font>
      <sz val="11"/>
      <color theme="1"/>
      <name val="Aptos Narrow"/>
      <family val="2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u/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left"/>
    </xf>
    <xf numFmtId="0" fontId="0" fillId="0" borderId="7" xfId="0" applyBorder="1" applyAlignment="1">
      <alignment horizontal="left"/>
    </xf>
    <xf numFmtId="11" fontId="0" fillId="0" borderId="0" xfId="0" applyNumberFormat="1"/>
    <xf numFmtId="11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49" fontId="0" fillId="0" borderId="0" xfId="0" applyNumberFormat="1"/>
    <xf numFmtId="49" fontId="0" fillId="2" borderId="0" xfId="0" applyNumberFormat="1" applyFill="1"/>
    <xf numFmtId="0" fontId="4" fillId="0" borderId="0" xfId="0" applyFont="1"/>
    <xf numFmtId="0" fontId="0" fillId="0" borderId="8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9" fontId="0" fillId="3" borderId="0" xfId="0" applyNumberFormat="1" applyFill="1"/>
    <xf numFmtId="11" fontId="0" fillId="0" borderId="6" xfId="0" applyNumberFormat="1" applyBorder="1" applyAlignment="1">
      <alignment horizontal="center"/>
    </xf>
    <xf numFmtId="11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5" xfId="0" applyBorder="1" applyAlignment="1">
      <alignment horizontal="right"/>
    </xf>
    <xf numFmtId="0" fontId="0" fillId="0" borderId="7" xfId="0" applyBorder="1" applyAlignment="1">
      <alignment horizontal="right"/>
    </xf>
    <xf numFmtId="11" fontId="0" fillId="0" borderId="8" xfId="0" applyNumberFormat="1" applyBorder="1" applyAlignment="1">
      <alignment horizontal="center" vertical="center"/>
    </xf>
    <xf numFmtId="11" fontId="0" fillId="0" borderId="8" xfId="0" applyNumberFormat="1" applyBorder="1" applyAlignment="1">
      <alignment horizontal="center"/>
    </xf>
    <xf numFmtId="11" fontId="0" fillId="0" borderId="9" xfId="0" applyNumberFormat="1" applyBorder="1" applyAlignment="1">
      <alignment horizontal="center"/>
    </xf>
    <xf numFmtId="11" fontId="5" fillId="0" borderId="10" xfId="0" applyNumberFormat="1" applyFont="1" applyBorder="1" applyAlignment="1">
      <alignment horizontal="center" vertical="center" wrapText="1"/>
    </xf>
    <xf numFmtId="11" fontId="6" fillId="0" borderId="11" xfId="0" applyNumberFormat="1" applyFont="1" applyBorder="1" applyAlignment="1">
      <alignment horizontal="center" vertical="center" wrapText="1"/>
    </xf>
    <xf numFmtId="11" fontId="5" fillId="0" borderId="11" xfId="0" applyNumberFormat="1" applyFont="1" applyBorder="1" applyAlignment="1">
      <alignment horizontal="center" vertical="center" wrapText="1"/>
    </xf>
    <xf numFmtId="11" fontId="5" fillId="0" borderId="12" xfId="0" applyNumberFormat="1" applyFont="1" applyBorder="1" applyAlignment="1">
      <alignment horizontal="center" vertical="center" wrapText="1"/>
    </xf>
    <xf numFmtId="11" fontId="5" fillId="0" borderId="0" xfId="0" applyNumberFormat="1" applyFont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0" borderId="10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1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Hoja1!$J$4</c:f>
              <c:strCache>
                <c:ptCount val="1"/>
                <c:pt idx="0">
                  <c:v>|H(Ϳꞷ)|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Hoja1!$H$5:$H$14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50</c:v>
                </c:pt>
                <c:pt idx="4">
                  <c:v>100</c:v>
                </c:pt>
                <c:pt idx="5">
                  <c:v>200</c:v>
                </c:pt>
                <c:pt idx="6">
                  <c:v>500</c:v>
                </c:pt>
                <c:pt idx="7">
                  <c:v>1000</c:v>
                </c:pt>
                <c:pt idx="8">
                  <c:v>2000</c:v>
                </c:pt>
                <c:pt idx="9">
                  <c:v>5000</c:v>
                </c:pt>
              </c:numCache>
            </c:numRef>
          </c:xVal>
          <c:yVal>
            <c:numRef>
              <c:f>Hoja1!$J$5:$J$14</c:f>
              <c:numCache>
                <c:formatCode>0.00E+00</c:formatCode>
                <c:ptCount val="10"/>
                <c:pt idx="0">
                  <c:v>0.99993317763311929</c:v>
                </c:pt>
                <c:pt idx="1">
                  <c:v>0.9997327908779603</c:v>
                </c:pt>
                <c:pt idx="2">
                  <c:v>0.99893244689588157</c:v>
                </c:pt>
                <c:pt idx="3">
                  <c:v>0.99338334778307003</c:v>
                </c:pt>
                <c:pt idx="4">
                  <c:v>0.97429462043053094</c:v>
                </c:pt>
                <c:pt idx="5">
                  <c:v>0.90764694533833767</c:v>
                </c:pt>
                <c:pt idx="6">
                  <c:v>0.65419851065768164</c:v>
                </c:pt>
                <c:pt idx="7">
                  <c:v>0.39695277089001635</c:v>
                </c:pt>
                <c:pt idx="8">
                  <c:v>0.21135792262251618</c:v>
                </c:pt>
                <c:pt idx="9">
                  <c:v>8.6175479660056731E-2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372-46CE-9538-EE24CB6F648F}"/>
            </c:ext>
          </c:extLst>
        </c:ser>
        <c:ser>
          <c:idx val="1"/>
          <c:order val="1"/>
          <c:tx>
            <c:strRef>
              <c:f>Hoja1!$K$4</c:f>
              <c:strCache>
                <c:ptCount val="1"/>
                <c:pt idx="0">
                  <c:v>φ/ꞷ[s]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Hoja1!$H$5:$H$14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50</c:v>
                </c:pt>
                <c:pt idx="4">
                  <c:v>100</c:v>
                </c:pt>
                <c:pt idx="5">
                  <c:v>200</c:v>
                </c:pt>
                <c:pt idx="6">
                  <c:v>500</c:v>
                </c:pt>
                <c:pt idx="7">
                  <c:v>1000</c:v>
                </c:pt>
                <c:pt idx="8">
                  <c:v>2000</c:v>
                </c:pt>
                <c:pt idx="9">
                  <c:v>5000</c:v>
                </c:pt>
              </c:numCache>
            </c:numRef>
          </c:xVal>
          <c:yVal>
            <c:numRef>
              <c:f>Hoja1!$K$5:$K$14</c:f>
              <c:numCache>
                <c:formatCode>0.00E+00</c:formatCode>
                <c:ptCount val="10"/>
                <c:pt idx="0">
                  <c:v>-3.6798360591734272E-4</c:v>
                </c:pt>
                <c:pt idx="1">
                  <c:v>-3.6793443943976533E-4</c:v>
                </c:pt>
                <c:pt idx="2">
                  <c:v>-3.6773800972464361E-4</c:v>
                </c:pt>
                <c:pt idx="3">
                  <c:v>-3.6637348429727733E-4</c:v>
                </c:pt>
                <c:pt idx="4">
                  <c:v>-3.6164449973555442E-4</c:v>
                </c:pt>
                <c:pt idx="5">
                  <c:v>-3.4469200564528498E-4</c:v>
                </c:pt>
                <c:pt idx="6">
                  <c:v>-2.7300608503459857E-4</c:v>
                </c:pt>
                <c:pt idx="7">
                  <c:v>-1.8503383567113996E-4</c:v>
                </c:pt>
                <c:pt idx="8">
                  <c:v>-1.0805285853958093E-4</c:v>
                </c:pt>
                <c:pt idx="9">
                  <c:v>-4.7253542811741501E-5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372-46CE-9538-EE24CB6F64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365935"/>
        <c:axId val="1459376495"/>
      </c:scatterChart>
      <c:valAx>
        <c:axId val="14593659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1459376495"/>
        <c:crosses val="autoZero"/>
        <c:crossBetween val="midCat"/>
      </c:valAx>
      <c:valAx>
        <c:axId val="1459376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14593659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162413</xdr:colOff>
      <xdr:row>1</xdr:row>
      <xdr:rowOff>114136</xdr:rowOff>
    </xdr:from>
    <xdr:to>
      <xdr:col>18</xdr:col>
      <xdr:colOff>167298</xdr:colOff>
      <xdr:row>16</xdr:row>
      <xdr:rowOff>146375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7AB0CEF-30C3-3EC4-E332-AD824980C3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543A0-2A90-4A4E-A1BA-B6F7298B310B}">
  <dimension ref="A1:O42"/>
  <sheetViews>
    <sheetView tabSelected="1" zoomScale="117" workbookViewId="0">
      <selection activeCell="B4" sqref="B4"/>
    </sheetView>
  </sheetViews>
  <sheetFormatPr baseColWidth="10" defaultRowHeight="14.25" x14ac:dyDescent="0.45"/>
  <cols>
    <col min="2" max="2" width="7.6640625" customWidth="1"/>
    <col min="3" max="3" width="13.46484375" customWidth="1"/>
    <col min="4" max="4" width="10.19921875" customWidth="1"/>
    <col min="5" max="5" width="26" customWidth="1"/>
    <col min="6" max="6" width="14.53125" customWidth="1"/>
    <col min="8" max="8" width="14.1328125" customWidth="1"/>
    <col min="9" max="9" width="13.86328125" customWidth="1"/>
    <col min="10" max="10" width="12.265625" bestFit="1" customWidth="1"/>
    <col min="11" max="11" width="10.73046875" customWidth="1"/>
    <col min="12" max="12" width="15.6640625" customWidth="1"/>
    <col min="13" max="13" width="16.3984375" customWidth="1"/>
    <col min="14" max="15" width="10.796875" bestFit="1" customWidth="1"/>
  </cols>
  <sheetData>
    <row r="1" spans="2:12" x14ac:dyDescent="0.45">
      <c r="C1" s="1" t="s">
        <v>10</v>
      </c>
      <c r="D1" s="1" t="s">
        <v>11</v>
      </c>
      <c r="I1" s="1" t="s">
        <v>10</v>
      </c>
      <c r="J1" s="1" t="s">
        <v>11</v>
      </c>
    </row>
    <row r="2" spans="2:12" x14ac:dyDescent="0.45">
      <c r="B2" t="s">
        <v>0</v>
      </c>
      <c r="C2" s="9">
        <v>1660</v>
      </c>
      <c r="D2" s="9">
        <v>2.3E-6</v>
      </c>
      <c r="H2" t="s">
        <v>6</v>
      </c>
      <c r="I2" s="9">
        <v>160</v>
      </c>
      <c r="J2" s="9">
        <v>2.3E-6</v>
      </c>
    </row>
    <row r="3" spans="2:12" ht="14.65" thickBot="1" x14ac:dyDescent="0.5"/>
    <row r="4" spans="2:12" ht="14.65" x14ac:dyDescent="0.45">
      <c r="B4" s="2" t="s">
        <v>1</v>
      </c>
      <c r="C4" s="3" t="s">
        <v>2</v>
      </c>
      <c r="D4" s="4" t="s">
        <v>3</v>
      </c>
      <c r="E4" s="6" t="s">
        <v>5</v>
      </c>
      <c r="F4" s="5" t="s">
        <v>4</v>
      </c>
      <c r="H4" s="2" t="s">
        <v>1</v>
      </c>
      <c r="I4" s="3" t="s">
        <v>2</v>
      </c>
      <c r="J4" s="4" t="s">
        <v>3</v>
      </c>
      <c r="K4" s="6" t="s">
        <v>5</v>
      </c>
      <c r="L4" s="5" t="s">
        <v>4</v>
      </c>
    </row>
    <row r="5" spans="2:12" x14ac:dyDescent="0.45">
      <c r="B5" s="21">
        <v>5</v>
      </c>
      <c r="C5" s="19">
        <f>B5*2*PI()</f>
        <v>31.415926535897931</v>
      </c>
      <c r="D5" s="10">
        <f>1/(SQRT(1+(C5^2)*((C$2*D$2)^2)))</f>
        <v>0.99288317874820231</v>
      </c>
      <c r="E5" s="10">
        <f>F5/C5</f>
        <v>-3.7998465367852429E-3</v>
      </c>
      <c r="F5" s="18">
        <f>-ATAN2(1/(C$2*D$2),C5)</f>
        <v>-0.11937569964733137</v>
      </c>
      <c r="H5" s="21">
        <v>5</v>
      </c>
      <c r="I5" s="19">
        <f>H5*2*PI()</f>
        <v>31.415926535897931</v>
      </c>
      <c r="J5" s="10">
        <f>1/(SQRT(1+(I5^2)*((I$2*J$2)^2)))</f>
        <v>0.99993317763311929</v>
      </c>
      <c r="K5" s="18">
        <f t="shared" ref="K5:K14" si="0">L5/I5</f>
        <v>-3.6798360591734272E-4</v>
      </c>
      <c r="L5" s="10">
        <f t="shared" ref="L5:L14" si="1">-ATAN2(1/(I$2*J$2),I5)</f>
        <v>-1.1560545929914054E-2</v>
      </c>
    </row>
    <row r="6" spans="2:12" x14ac:dyDescent="0.45">
      <c r="B6" s="21">
        <v>10</v>
      </c>
      <c r="C6" s="19">
        <f t="shared" ref="C6:C14" si="2">B6*2*PI()</f>
        <v>62.831853071795862</v>
      </c>
      <c r="D6" s="10">
        <f t="shared" ref="D6:D14" si="3">1/(SQRT(1+(C6^2)*((C$2*D$2)^2)))</f>
        <v>0.97241112575913102</v>
      </c>
      <c r="E6" s="10">
        <f t="shared" ref="E6:E14" si="4">F6/C6</f>
        <v>-3.7471897280619026E-3</v>
      </c>
      <c r="F6" s="18">
        <f t="shared" ref="F6:F14" si="5">-ATAN2(1/(C$2*D$2),C6)</f>
        <v>-0.23544287442572814</v>
      </c>
      <c r="H6" s="21">
        <v>10</v>
      </c>
      <c r="I6" s="19">
        <f t="shared" ref="I6:I14" si="6">H6*2*PI()</f>
        <v>62.831853071795862</v>
      </c>
      <c r="J6" s="10">
        <f t="shared" ref="J6:J14" si="7">1/(SQRT(1+(I6^2)*((I$2*J$2)^2)))</f>
        <v>0.9997327908779603</v>
      </c>
      <c r="K6" s="18">
        <f t="shared" si="0"/>
        <v>-3.6793443943976533E-4</v>
      </c>
      <c r="L6" s="10">
        <f t="shared" si="1"/>
        <v>-2.3118002638932909E-2</v>
      </c>
    </row>
    <row r="7" spans="2:12" x14ac:dyDescent="0.45">
      <c r="B7" s="21">
        <v>20</v>
      </c>
      <c r="C7" s="19">
        <f t="shared" si="2"/>
        <v>125.66370614359172</v>
      </c>
      <c r="D7" s="10">
        <f t="shared" si="3"/>
        <v>0.90159900649859992</v>
      </c>
      <c r="E7" s="10">
        <f t="shared" si="4"/>
        <v>-3.559853881914812E-3</v>
      </c>
      <c r="F7" s="18">
        <f t="shared" si="5"/>
        <v>-0.44734443213106723</v>
      </c>
      <c r="H7" s="21">
        <v>20</v>
      </c>
      <c r="I7" s="19">
        <f t="shared" si="6"/>
        <v>125.66370614359172</v>
      </c>
      <c r="J7" s="10">
        <f t="shared" si="7"/>
        <v>0.99893244689588157</v>
      </c>
      <c r="K7" s="18">
        <f t="shared" si="0"/>
        <v>-3.6773800972464361E-4</v>
      </c>
      <c r="L7" s="10">
        <f t="shared" si="1"/>
        <v>-4.621132119186689E-2</v>
      </c>
    </row>
    <row r="8" spans="2:12" x14ac:dyDescent="0.45">
      <c r="B8" s="21">
        <v>50</v>
      </c>
      <c r="C8" s="19">
        <f t="shared" si="2"/>
        <v>314.15926535897933</v>
      </c>
      <c r="D8" s="10">
        <f t="shared" si="3"/>
        <v>0.64035442165710099</v>
      </c>
      <c r="E8" s="10">
        <f t="shared" si="4"/>
        <v>-2.7878748384108799E-3</v>
      </c>
      <c r="F8" s="18">
        <f t="shared" si="5"/>
        <v>-0.87583671114794526</v>
      </c>
      <c r="H8" s="21">
        <v>50</v>
      </c>
      <c r="I8" s="19">
        <f t="shared" si="6"/>
        <v>314.15926535897933</v>
      </c>
      <c r="J8" s="10">
        <f t="shared" si="7"/>
        <v>0.99338334778307003</v>
      </c>
      <c r="K8" s="18">
        <f t="shared" si="0"/>
        <v>-3.6637348429727733E-4</v>
      </c>
      <c r="L8" s="10">
        <f t="shared" si="1"/>
        <v>-0.11509962467384219</v>
      </c>
    </row>
    <row r="9" spans="2:12" x14ac:dyDescent="0.45">
      <c r="B9" s="21">
        <v>100</v>
      </c>
      <c r="C9" s="19">
        <f t="shared" si="2"/>
        <v>628.31853071795865</v>
      </c>
      <c r="D9" s="10">
        <f t="shared" si="3"/>
        <v>0.38476288956178101</v>
      </c>
      <c r="E9" s="10">
        <f t="shared" si="4"/>
        <v>-1.8714160847769813E-3</v>
      </c>
      <c r="F9" s="18">
        <f t="shared" si="5"/>
        <v>-1.1758454047490277</v>
      </c>
      <c r="H9" s="21">
        <v>100</v>
      </c>
      <c r="I9" s="19">
        <f t="shared" si="6"/>
        <v>628.31853071795865</v>
      </c>
      <c r="J9" s="10">
        <f t="shared" si="7"/>
        <v>0.97429462043053094</v>
      </c>
      <c r="K9" s="18">
        <f t="shared" si="0"/>
        <v>-3.6164449973555442E-4</v>
      </c>
      <c r="L9" s="10">
        <f t="shared" si="1"/>
        <v>-0.22722794071607474</v>
      </c>
    </row>
    <row r="10" spans="2:12" x14ac:dyDescent="0.45">
      <c r="B10" s="21">
        <v>200</v>
      </c>
      <c r="C10" s="19">
        <f t="shared" si="2"/>
        <v>1256.6370614359173</v>
      </c>
      <c r="D10" s="10">
        <f t="shared" si="3"/>
        <v>0.20404224062515786</v>
      </c>
      <c r="E10" s="10">
        <f t="shared" si="4"/>
        <v>-1.0864800211619035E-3</v>
      </c>
      <c r="F10" s="18">
        <f t="shared" si="5"/>
        <v>-1.3653110611017276</v>
      </c>
      <c r="H10" s="21">
        <v>200</v>
      </c>
      <c r="I10" s="19">
        <f t="shared" si="6"/>
        <v>1256.6370614359173</v>
      </c>
      <c r="J10" s="10">
        <f t="shared" si="7"/>
        <v>0.90764694533833767</v>
      </c>
      <c r="K10" s="18">
        <f t="shared" si="0"/>
        <v>-3.4469200564528498E-4</v>
      </c>
      <c r="L10" s="10">
        <f t="shared" si="1"/>
        <v>-0.43315274907454354</v>
      </c>
    </row>
    <row r="11" spans="2:12" x14ac:dyDescent="0.45">
      <c r="B11" s="21">
        <v>500</v>
      </c>
      <c r="C11" s="19">
        <f t="shared" si="2"/>
        <v>3141.5926535897929</v>
      </c>
      <c r="D11" s="10">
        <f t="shared" si="3"/>
        <v>8.308260395881574E-2</v>
      </c>
      <c r="E11" s="10">
        <f t="shared" si="4"/>
        <v>-4.7352346599218386E-4</v>
      </c>
      <c r="F11" s="18">
        <f t="shared" si="5"/>
        <v>-1.487617842063421</v>
      </c>
      <c r="G11" s="14"/>
      <c r="H11" s="21">
        <v>500</v>
      </c>
      <c r="I11" s="19">
        <f t="shared" si="6"/>
        <v>3141.5926535897929</v>
      </c>
      <c r="J11" s="10">
        <f t="shared" si="7"/>
        <v>0.65419851065768164</v>
      </c>
      <c r="K11" s="18">
        <f t="shared" si="0"/>
        <v>-2.7300608503459857E-4</v>
      </c>
      <c r="L11" s="48">
        <f t="shared" si="1"/>
        <v>-0.85767391113000524</v>
      </c>
    </row>
    <row r="12" spans="2:12" x14ac:dyDescent="0.45">
      <c r="B12" s="21">
        <v>1000</v>
      </c>
      <c r="C12" s="19">
        <f t="shared" si="2"/>
        <v>6283.1853071795858</v>
      </c>
      <c r="D12" s="10">
        <f t="shared" si="3"/>
        <v>4.1649251782663335E-2</v>
      </c>
      <c r="E12" s="10">
        <f t="shared" si="4"/>
        <v>-2.4336939778610314E-4</v>
      </c>
      <c r="F12" s="18">
        <f t="shared" si="5"/>
        <v>-1.5291350243867872</v>
      </c>
      <c r="H12" s="21">
        <v>1000</v>
      </c>
      <c r="I12" s="19">
        <f t="shared" si="6"/>
        <v>6283.1853071795858</v>
      </c>
      <c r="J12" s="10">
        <f t="shared" si="7"/>
        <v>0.39695277089001635</v>
      </c>
      <c r="K12" s="18">
        <f t="shared" si="0"/>
        <v>-1.8503383567113996E-4</v>
      </c>
      <c r="L12" s="10">
        <f t="shared" si="1"/>
        <v>-1.1626018776199885</v>
      </c>
    </row>
    <row r="13" spans="2:12" x14ac:dyDescent="0.45">
      <c r="B13" s="21">
        <v>2000</v>
      </c>
      <c r="C13" s="19">
        <f t="shared" si="2"/>
        <v>12566.370614359172</v>
      </c>
      <c r="D13" s="10">
        <f t="shared" si="3"/>
        <v>2.0838185491937784E-2</v>
      </c>
      <c r="E13" s="10">
        <f t="shared" si="4"/>
        <v>-1.2334162985317226E-4</v>
      </c>
      <c r="F13" s="18">
        <f t="shared" si="5"/>
        <v>-1.5499566329140697</v>
      </c>
      <c r="H13" s="21">
        <v>2000</v>
      </c>
      <c r="I13" s="19">
        <f t="shared" si="6"/>
        <v>12566.370614359172</v>
      </c>
      <c r="J13" s="10">
        <f t="shared" si="7"/>
        <v>0.21135792262251618</v>
      </c>
      <c r="K13" s="18">
        <f t="shared" si="0"/>
        <v>-1.0805285853958093E-4</v>
      </c>
      <c r="L13" s="10">
        <f t="shared" si="1"/>
        <v>-1.3578322663492983</v>
      </c>
    </row>
    <row r="14" spans="2:12" ht="14.65" thickBot="1" x14ac:dyDescent="0.5">
      <c r="B14" s="22">
        <v>5000</v>
      </c>
      <c r="C14" s="23">
        <f t="shared" si="2"/>
        <v>31415.926535897932</v>
      </c>
      <c r="D14" s="24">
        <f t="shared" si="3"/>
        <v>8.3367947716427911E-3</v>
      </c>
      <c r="E14" s="10">
        <f t="shared" si="4"/>
        <v>-4.9734628506468111E-5</v>
      </c>
      <c r="F14" s="18">
        <f t="shared" si="5"/>
        <v>-1.5624594354493773</v>
      </c>
      <c r="H14" s="22">
        <v>5000</v>
      </c>
      <c r="I14" s="23">
        <f t="shared" si="6"/>
        <v>31415.926535897932</v>
      </c>
      <c r="J14" s="24">
        <f t="shared" si="7"/>
        <v>8.6175479660056731E-2</v>
      </c>
      <c r="K14" s="25">
        <f t="shared" si="0"/>
        <v>-4.7253542811741501E-5</v>
      </c>
      <c r="L14" s="24">
        <f t="shared" si="1"/>
        <v>-1.4845138295345788</v>
      </c>
    </row>
    <row r="16" spans="2:12" x14ac:dyDescent="0.45">
      <c r="B16" t="s">
        <v>0</v>
      </c>
      <c r="C16" t="s">
        <v>48</v>
      </c>
      <c r="H16" t="s">
        <v>6</v>
      </c>
      <c r="I16" s="14" t="s">
        <v>27</v>
      </c>
    </row>
    <row r="17" spans="1:15" ht="14.65" thickBot="1" x14ac:dyDescent="0.5"/>
    <row r="18" spans="1:15" ht="15" thickBot="1" x14ac:dyDescent="0.5">
      <c r="B18" s="2" t="s">
        <v>1</v>
      </c>
      <c r="C18" s="3" t="s">
        <v>7</v>
      </c>
      <c r="D18" s="26" t="s">
        <v>8</v>
      </c>
      <c r="E18" s="27" t="s">
        <v>49</v>
      </c>
      <c r="F18" s="20"/>
      <c r="H18" s="2" t="s">
        <v>1</v>
      </c>
      <c r="I18" s="3" t="s">
        <v>7</v>
      </c>
      <c r="J18" s="4" t="s">
        <v>8</v>
      </c>
      <c r="K18" s="5" t="s">
        <v>9</v>
      </c>
    </row>
    <row r="19" spans="1:15" ht="14.65" thickBot="1" x14ac:dyDescent="0.5">
      <c r="A19" s="17" t="s">
        <v>23</v>
      </c>
      <c r="B19" s="7">
        <v>5</v>
      </c>
      <c r="C19" s="11">
        <v>1</v>
      </c>
      <c r="D19" s="26">
        <v>1</v>
      </c>
      <c r="E19" s="28">
        <v>4.0000000000000001E-3</v>
      </c>
      <c r="H19" s="7">
        <v>5</v>
      </c>
      <c r="I19" s="11">
        <v>1</v>
      </c>
      <c r="J19" s="11">
        <v>1.04</v>
      </c>
      <c r="K19" s="11" t="s">
        <v>20</v>
      </c>
      <c r="L19" s="13" t="s">
        <v>12</v>
      </c>
      <c r="N19" s="14"/>
    </row>
    <row r="20" spans="1:15" ht="14.65" thickBot="1" x14ac:dyDescent="0.5">
      <c r="A20" s="17" t="s">
        <v>24</v>
      </c>
      <c r="B20" s="7">
        <v>10</v>
      </c>
      <c r="C20" s="11">
        <v>1</v>
      </c>
      <c r="D20" s="26">
        <v>1</v>
      </c>
      <c r="E20" s="28">
        <v>1E-3</v>
      </c>
      <c r="H20" s="7">
        <v>10</v>
      </c>
      <c r="I20" s="11">
        <v>1</v>
      </c>
      <c r="J20" s="11">
        <v>1.01</v>
      </c>
      <c r="K20" s="11" t="s">
        <v>20</v>
      </c>
      <c r="L20" s="13" t="s">
        <v>13</v>
      </c>
    </row>
    <row r="21" spans="1:15" ht="14.65" thickBot="1" x14ac:dyDescent="0.5">
      <c r="A21" s="17" t="s">
        <v>25</v>
      </c>
      <c r="B21" s="7">
        <v>20</v>
      </c>
      <c r="C21" s="11">
        <v>1</v>
      </c>
      <c r="D21" s="26">
        <v>1</v>
      </c>
      <c r="E21" s="28">
        <v>8.0000000000000004E-4</v>
      </c>
      <c r="H21" s="7">
        <v>20</v>
      </c>
      <c r="I21" s="11">
        <v>1</v>
      </c>
      <c r="J21" s="11">
        <v>1.04</v>
      </c>
      <c r="K21" s="11" t="s">
        <v>21</v>
      </c>
      <c r="L21" s="13" t="s">
        <v>14</v>
      </c>
    </row>
    <row r="22" spans="1:15" ht="14.65" thickBot="1" x14ac:dyDescent="0.5">
      <c r="A22" s="17" t="s">
        <v>26</v>
      </c>
      <c r="B22" s="7">
        <v>50</v>
      </c>
      <c r="C22" s="11">
        <v>1</v>
      </c>
      <c r="D22" s="26">
        <v>0.96</v>
      </c>
      <c r="E22" s="28">
        <v>2.9999999999999997E-4</v>
      </c>
      <c r="H22" s="7">
        <v>50</v>
      </c>
      <c r="I22" s="11">
        <v>1</v>
      </c>
      <c r="J22" s="11">
        <v>1</v>
      </c>
      <c r="K22" s="11" t="s">
        <v>28</v>
      </c>
      <c r="L22" s="13" t="s">
        <v>29</v>
      </c>
    </row>
    <row r="23" spans="1:15" ht="14.65" thickBot="1" x14ac:dyDescent="0.5">
      <c r="A23" s="17" t="s">
        <v>42</v>
      </c>
      <c r="B23" s="7">
        <v>100</v>
      </c>
      <c r="C23" s="11">
        <v>1</v>
      </c>
      <c r="D23" s="26">
        <v>0.94399999999999995</v>
      </c>
      <c r="E23" s="28">
        <v>2.0000000000000001E-4</v>
      </c>
      <c r="H23" s="7">
        <v>100</v>
      </c>
      <c r="I23" s="11">
        <v>1</v>
      </c>
      <c r="J23" s="11" t="s">
        <v>30</v>
      </c>
      <c r="K23" s="11" t="s">
        <v>21</v>
      </c>
      <c r="L23" s="13" t="s">
        <v>15</v>
      </c>
      <c r="M23" s="13" t="s">
        <v>31</v>
      </c>
      <c r="N23" s="14"/>
    </row>
    <row r="24" spans="1:15" ht="14.65" thickBot="1" x14ac:dyDescent="0.5">
      <c r="A24" s="17" t="s">
        <v>43</v>
      </c>
      <c r="B24" s="7">
        <v>200</v>
      </c>
      <c r="C24" s="11">
        <v>1</v>
      </c>
      <c r="D24" s="26">
        <v>0.95199999999999996</v>
      </c>
      <c r="E24" s="28">
        <v>1E-4</v>
      </c>
      <c r="H24" s="7">
        <v>200</v>
      </c>
      <c r="I24" s="11">
        <v>1</v>
      </c>
      <c r="J24" s="11" t="s">
        <v>33</v>
      </c>
      <c r="K24" s="11" t="s">
        <v>32</v>
      </c>
      <c r="L24" s="13" t="s">
        <v>16</v>
      </c>
    </row>
    <row r="25" spans="1:15" ht="14.65" thickBot="1" x14ac:dyDescent="0.5">
      <c r="A25" s="17" t="s">
        <v>44</v>
      </c>
      <c r="B25" s="7">
        <v>500</v>
      </c>
      <c r="C25" s="11">
        <v>1</v>
      </c>
      <c r="D25" s="26">
        <v>0.84399999999999997</v>
      </c>
      <c r="E25" s="28">
        <v>5.0000000000000002E-5</v>
      </c>
      <c r="H25" s="7">
        <v>500</v>
      </c>
      <c r="I25" s="11">
        <v>1</v>
      </c>
      <c r="J25" s="11" t="s">
        <v>34</v>
      </c>
      <c r="K25" s="11" t="s">
        <v>35</v>
      </c>
      <c r="L25" s="13" t="s">
        <v>17</v>
      </c>
    </row>
    <row r="26" spans="1:15" ht="14.65" thickBot="1" x14ac:dyDescent="0.5">
      <c r="A26" s="17" t="s">
        <v>45</v>
      </c>
      <c r="B26" s="7">
        <v>1000</v>
      </c>
      <c r="C26" s="11">
        <v>1</v>
      </c>
      <c r="D26" s="26">
        <v>0.64</v>
      </c>
      <c r="E26" s="28">
        <v>4.8000000000000001E-5</v>
      </c>
      <c r="H26" s="7">
        <v>1000</v>
      </c>
      <c r="I26" s="16">
        <v>1</v>
      </c>
      <c r="J26" s="11" t="s">
        <v>37</v>
      </c>
      <c r="K26" s="16" t="s">
        <v>36</v>
      </c>
      <c r="L26" s="13" t="s">
        <v>18</v>
      </c>
    </row>
    <row r="27" spans="1:15" ht="14.65" thickBot="1" x14ac:dyDescent="0.5">
      <c r="A27" s="17" t="s">
        <v>46</v>
      </c>
      <c r="B27" s="7">
        <v>2000</v>
      </c>
      <c r="C27" s="11">
        <v>1</v>
      </c>
      <c r="D27" s="26">
        <v>0.41199999999999998</v>
      </c>
      <c r="E27" s="28">
        <v>3.6000000000000001E-5</v>
      </c>
      <c r="H27" s="7">
        <v>2000</v>
      </c>
      <c r="I27" s="16">
        <v>1</v>
      </c>
      <c r="J27" s="11" t="s">
        <v>38</v>
      </c>
      <c r="K27" s="11" t="s">
        <v>39</v>
      </c>
      <c r="L27" s="13" t="s">
        <v>19</v>
      </c>
      <c r="M27" s="12"/>
    </row>
    <row r="28" spans="1:15" ht="14.65" thickBot="1" x14ac:dyDescent="0.5">
      <c r="A28" s="17" t="s">
        <v>47</v>
      </c>
      <c r="B28" s="8">
        <v>5000</v>
      </c>
      <c r="C28" s="15">
        <v>1</v>
      </c>
      <c r="D28" s="29">
        <v>0.23200000000000001</v>
      </c>
      <c r="E28" s="30">
        <v>1.2E-5</v>
      </c>
      <c r="H28" s="8">
        <v>5000</v>
      </c>
      <c r="I28" s="16">
        <v>1</v>
      </c>
      <c r="J28" s="15" t="s">
        <v>40</v>
      </c>
      <c r="K28" s="15" t="s">
        <v>41</v>
      </c>
      <c r="L28" s="13" t="s">
        <v>22</v>
      </c>
    </row>
    <row r="31" spans="1:15" ht="14.65" thickBot="1" x14ac:dyDescent="0.5">
      <c r="B31" s="14"/>
    </row>
    <row r="32" spans="1:15" ht="14.65" thickBot="1" x14ac:dyDescent="0.5">
      <c r="C32" s="2" t="s">
        <v>1</v>
      </c>
      <c r="D32" s="4" t="s">
        <v>50</v>
      </c>
      <c r="E32" s="31" t="s">
        <v>5</v>
      </c>
      <c r="F32" s="2" t="s">
        <v>1</v>
      </c>
      <c r="G32" s="36" t="s">
        <v>8</v>
      </c>
      <c r="H32" s="37" t="s">
        <v>49</v>
      </c>
      <c r="I32" s="1"/>
      <c r="J32" s="41" t="s">
        <v>1</v>
      </c>
      <c r="K32" s="47" t="s">
        <v>50</v>
      </c>
      <c r="L32" s="41" t="s">
        <v>5</v>
      </c>
      <c r="M32" s="41" t="s">
        <v>1</v>
      </c>
      <c r="N32" s="42" t="s">
        <v>8</v>
      </c>
      <c r="O32" s="43" t="s">
        <v>9</v>
      </c>
    </row>
    <row r="33" spans="3:15" ht="14.65" thickBot="1" x14ac:dyDescent="0.5">
      <c r="C33" s="32">
        <v>5</v>
      </c>
      <c r="D33" s="11">
        <v>0.99348267448078464</v>
      </c>
      <c r="E33" s="33">
        <v>-3.6361013834378506E-3</v>
      </c>
      <c r="F33" s="32">
        <v>5</v>
      </c>
      <c r="G33" s="36">
        <v>1</v>
      </c>
      <c r="H33" s="38">
        <v>4.0000000000000001E-3</v>
      </c>
      <c r="I33" s="1"/>
      <c r="J33" s="41">
        <v>5</v>
      </c>
      <c r="K33" s="41">
        <v>0.99993886143415789</v>
      </c>
      <c r="L33" s="41">
        <v>-3.5198565255339307E-4</v>
      </c>
      <c r="M33" s="41">
        <v>5</v>
      </c>
      <c r="N33" s="44">
        <v>1.04</v>
      </c>
      <c r="O33" s="44">
        <v>1E-3</v>
      </c>
    </row>
    <row r="34" spans="3:15" ht="14.65" thickBot="1" x14ac:dyDescent="0.5">
      <c r="C34" s="32">
        <v>10</v>
      </c>
      <c r="D34" s="11">
        <v>0.97466962090949838</v>
      </c>
      <c r="E34" s="33">
        <v>-3.5898557546730023E-3</v>
      </c>
      <c r="F34" s="32">
        <v>10</v>
      </c>
      <c r="G34" s="36">
        <v>1</v>
      </c>
      <c r="H34" s="38">
        <v>1E-3</v>
      </c>
      <c r="I34" s="1"/>
      <c r="J34" s="41">
        <v>10</v>
      </c>
      <c r="K34" s="41">
        <v>0.999755512997336</v>
      </c>
      <c r="L34" s="41">
        <v>-3.5194262284156738E-4</v>
      </c>
      <c r="M34" s="41">
        <v>10</v>
      </c>
      <c r="N34" s="44">
        <v>1.01</v>
      </c>
      <c r="O34" s="44">
        <v>1E-3</v>
      </c>
    </row>
    <row r="35" spans="3:15" ht="14.65" thickBot="1" x14ac:dyDescent="0.5">
      <c r="C35" s="32">
        <v>20</v>
      </c>
      <c r="D35" s="11">
        <v>0.9088614300680784</v>
      </c>
      <c r="E35" s="33">
        <v>-3.4238221155991383E-3</v>
      </c>
      <c r="F35" s="32">
        <v>20</v>
      </c>
      <c r="G35" s="36">
        <v>1</v>
      </c>
      <c r="H35" s="38">
        <v>8.0000000000000004E-4</v>
      </c>
      <c r="I35" s="1"/>
      <c r="J35" s="41">
        <v>20</v>
      </c>
      <c r="K35" s="41">
        <v>0.99902312651843284</v>
      </c>
      <c r="L35" s="41">
        <v>-3.5177069314987571E-4</v>
      </c>
      <c r="M35" s="41">
        <v>20</v>
      </c>
      <c r="N35" s="44">
        <v>1.04</v>
      </c>
      <c r="O35" s="44">
        <v>4.0000000000000002E-4</v>
      </c>
    </row>
    <row r="36" spans="3:15" ht="14.65" thickBot="1" x14ac:dyDescent="0.5">
      <c r="C36" s="32">
        <v>50</v>
      </c>
      <c r="D36" s="11">
        <v>0.65705356711494778</v>
      </c>
      <c r="E36" s="33">
        <v>-2.71802520464668E-3</v>
      </c>
      <c r="F36" s="32">
        <v>50</v>
      </c>
      <c r="G36" s="36">
        <v>0.96</v>
      </c>
      <c r="H36" s="38">
        <v>2.9999999999999997E-4</v>
      </c>
      <c r="I36" s="1"/>
      <c r="J36" s="41">
        <v>50</v>
      </c>
      <c r="K36" s="41">
        <v>0.99394109639309625</v>
      </c>
      <c r="L36" s="41">
        <v>-3.5057558690057805E-4</v>
      </c>
      <c r="M36" s="41">
        <v>50</v>
      </c>
      <c r="N36" s="44">
        <v>1</v>
      </c>
      <c r="O36" s="44">
        <v>5.0000000000000001E-4</v>
      </c>
    </row>
    <row r="37" spans="3:15" ht="14.65" thickBot="1" x14ac:dyDescent="0.5">
      <c r="C37" s="32">
        <v>100</v>
      </c>
      <c r="D37" s="11">
        <v>0.39951201082486282</v>
      </c>
      <c r="E37" s="33">
        <v>-1.8458979037588804E-3</v>
      </c>
      <c r="F37" s="32">
        <v>100</v>
      </c>
      <c r="G37" s="36">
        <v>0.94399999999999995</v>
      </c>
      <c r="H37" s="38">
        <v>2.0000000000000001E-4</v>
      </c>
      <c r="I37" s="1"/>
      <c r="J37" s="41">
        <v>100</v>
      </c>
      <c r="K37" s="41">
        <v>0.97640452151720181</v>
      </c>
      <c r="L37" s="41">
        <v>-3.4642337694140458E-4</v>
      </c>
      <c r="M37" s="41">
        <v>100</v>
      </c>
      <c r="N37" s="44">
        <v>0.98</v>
      </c>
      <c r="O37" s="44">
        <v>4.0000000000000002E-4</v>
      </c>
    </row>
    <row r="38" spans="3:15" ht="14.65" thickBot="1" x14ac:dyDescent="0.5">
      <c r="C38" s="32">
        <v>200</v>
      </c>
      <c r="D38" s="11">
        <v>0.21290522289704045</v>
      </c>
      <c r="E38" s="33">
        <v>-1.0792686071118027E-3</v>
      </c>
      <c r="F38" s="32">
        <v>200</v>
      </c>
      <c r="G38" s="36">
        <v>0.95199999999999996</v>
      </c>
      <c r="H38" s="38">
        <v>1E-4</v>
      </c>
      <c r="I38" s="1"/>
      <c r="J38" s="41">
        <v>200</v>
      </c>
      <c r="K38" s="41">
        <v>0.91452567747902469</v>
      </c>
      <c r="L38" s="41">
        <v>-3.3141032601830071E-4</v>
      </c>
      <c r="M38" s="41">
        <v>200</v>
      </c>
      <c r="N38" s="44">
        <v>0.84</v>
      </c>
      <c r="O38" s="44">
        <v>3.6000000000000001E-5</v>
      </c>
    </row>
    <row r="39" spans="3:15" ht="14.65" thickBot="1" x14ac:dyDescent="0.5">
      <c r="C39" s="32">
        <v>500</v>
      </c>
      <c r="D39" s="11">
        <v>8.6831227078373305E-2</v>
      </c>
      <c r="E39" s="33">
        <v>-4.7232591186828374E-4</v>
      </c>
      <c r="F39" s="32">
        <v>500</v>
      </c>
      <c r="G39" s="36">
        <v>0.84399999999999997</v>
      </c>
      <c r="H39" s="38">
        <v>5.0000000000000002E-5</v>
      </c>
      <c r="I39" s="1"/>
      <c r="J39" s="41">
        <v>500</v>
      </c>
      <c r="K39" s="41">
        <v>0.67072061130538874</v>
      </c>
      <c r="L39" s="41">
        <v>-2.6598496491394788E-4</v>
      </c>
      <c r="M39" s="41">
        <v>500</v>
      </c>
      <c r="N39" s="44">
        <v>0.52800000000000002</v>
      </c>
      <c r="O39" s="44">
        <v>2.4000000000000001E-5</v>
      </c>
    </row>
    <row r="40" spans="3:15" ht="14.65" thickBot="1" x14ac:dyDescent="0.5">
      <c r="C40" s="32">
        <v>1000</v>
      </c>
      <c r="D40" s="11">
        <v>4.3538888748081025E-2</v>
      </c>
      <c r="E40" s="33">
        <v>-2.4306837949142728E-4</v>
      </c>
      <c r="F40" s="32">
        <v>1000</v>
      </c>
      <c r="G40" s="36">
        <v>0.64</v>
      </c>
      <c r="H40" s="38">
        <v>4.8000000000000001E-5</v>
      </c>
      <c r="I40" s="1"/>
      <c r="J40" s="41">
        <v>1000</v>
      </c>
      <c r="K40" s="41">
        <v>0.41198918075870139</v>
      </c>
      <c r="L40" s="41">
        <v>-1.8241707382612529E-4</v>
      </c>
      <c r="M40" s="41">
        <v>1000</v>
      </c>
      <c r="N40" s="44">
        <v>0.29599999999999999</v>
      </c>
      <c r="O40" s="45">
        <v>1.8E-5</v>
      </c>
    </row>
    <row r="41" spans="3:15" ht="14.65" thickBot="1" x14ac:dyDescent="0.5">
      <c r="C41" s="32">
        <v>2000</v>
      </c>
      <c r="D41" s="11">
        <v>2.1784935988521097E-2</v>
      </c>
      <c r="E41" s="33">
        <v>-1.2326627272475781E-4</v>
      </c>
      <c r="F41" s="32">
        <v>2000</v>
      </c>
      <c r="G41" s="36">
        <v>0.41199999999999998</v>
      </c>
      <c r="H41" s="38">
        <v>3.6000000000000001E-5</v>
      </c>
      <c r="I41" s="1"/>
      <c r="J41" s="41">
        <v>2000</v>
      </c>
      <c r="K41" s="41">
        <v>0.22050764671758041</v>
      </c>
      <c r="L41" s="41">
        <v>-1.0730715101575584E-4</v>
      </c>
      <c r="M41" s="41">
        <v>2000</v>
      </c>
      <c r="N41" s="44">
        <v>0.16800000000000001</v>
      </c>
      <c r="O41" s="44">
        <v>8.3999999999999995E-5</v>
      </c>
    </row>
    <row r="42" spans="3:15" ht="14.65" thickBot="1" x14ac:dyDescent="0.5">
      <c r="C42" s="34">
        <v>5000</v>
      </c>
      <c r="D42" s="15">
        <v>8.7157118282187029E-3</v>
      </c>
      <c r="E42" s="35">
        <v>-4.97225667634465E-5</v>
      </c>
      <c r="F42" s="34">
        <v>5000</v>
      </c>
      <c r="G42" s="39">
        <v>0.23200000000000001</v>
      </c>
      <c r="H42" s="40">
        <v>1.2E-5</v>
      </c>
      <c r="I42" s="1"/>
      <c r="J42" s="41">
        <v>5000</v>
      </c>
      <c r="K42" s="41">
        <v>9.0061460647254205E-2</v>
      </c>
      <c r="L42" s="41">
        <v>-4.7129365063641415E-5</v>
      </c>
      <c r="M42" s="41">
        <v>5000</v>
      </c>
      <c r="N42" s="46">
        <v>0.104</v>
      </c>
      <c r="O42" s="46">
        <v>2.4000000000000001E-5</v>
      </c>
    </row>
  </sheetData>
  <phoneticPr fontId="3" type="noConversion"/>
  <pageMargins left="0.7" right="0.7" top="0.75" bottom="0.75" header="0.3" footer="0.3"/>
  <pageSetup paperSize="9" orientation="portrait" horizontalDpi="0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8FE562D9E782F4DBF4E96B95D968A6C" ma:contentTypeVersion="15" ma:contentTypeDescription="Crear nuevo documento." ma:contentTypeScope="" ma:versionID="005262b72e0ebcdaedb516d5a6a242e6">
  <xsd:schema xmlns:xsd="http://www.w3.org/2001/XMLSchema" xmlns:xs="http://www.w3.org/2001/XMLSchema" xmlns:p="http://schemas.microsoft.com/office/2006/metadata/properties" xmlns:ns3="fc4e8790-4307-48dd-a35a-1ca47b542f8e" xmlns:ns4="c789009b-da0c-4a5a-8f0b-f9a6c5ce0b99" targetNamespace="http://schemas.microsoft.com/office/2006/metadata/properties" ma:root="true" ma:fieldsID="aa63b33db65bfb9848dd3758c503821d" ns3:_="" ns4:_="">
    <xsd:import namespace="fc4e8790-4307-48dd-a35a-1ca47b542f8e"/>
    <xsd:import namespace="c789009b-da0c-4a5a-8f0b-f9a6c5ce0b99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_activity" minOccurs="0"/>
                <xsd:element ref="ns4:MediaServiceMetadata" minOccurs="0"/>
                <xsd:element ref="ns4:MediaServiceFastMetadata" minOccurs="0"/>
                <xsd:element ref="ns4:MediaServiceSearchProperties" minOccurs="0"/>
                <xsd:element ref="ns4:MediaServiceDateTaken" minOccurs="0"/>
                <xsd:element ref="ns4:MediaServiceObjectDetectorVersions" minOccurs="0"/>
                <xsd:element ref="ns4:MediaServiceSystem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Location" minOccurs="0"/>
                <xsd:element ref="ns4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4e8790-4307-48dd-a35a-1ca47b542f8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89009b-da0c-4a5a-8f0b-f9a6c5ce0b99" elementFormDefault="qualified">
    <xsd:import namespace="http://schemas.microsoft.com/office/2006/documentManagement/types"/>
    <xsd:import namespace="http://schemas.microsoft.com/office/infopath/2007/PartnerControls"/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789009b-da0c-4a5a-8f0b-f9a6c5ce0b99" xsi:nil="true"/>
  </documentManagement>
</p:properties>
</file>

<file path=customXml/itemProps1.xml><?xml version="1.0" encoding="utf-8"?>
<ds:datastoreItem xmlns:ds="http://schemas.openxmlformats.org/officeDocument/2006/customXml" ds:itemID="{8A4A1FCF-0C8C-47DF-A755-F7A394AE6F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4e8790-4307-48dd-a35a-1ca47b542f8e"/>
    <ds:schemaRef ds:uri="c789009b-da0c-4a5a-8f0b-f9a6c5ce0b9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0EBA563-90FD-47F4-8D87-242D46371E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94F5351-61EF-4250-858A-26D9789B16E2}">
  <ds:schemaRefs>
    <ds:schemaRef ds:uri="http://purl.org/dc/dcmitype/"/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fc4e8790-4307-48dd-a35a-1ca47b542f8e"/>
    <ds:schemaRef ds:uri="http://purl.org/dc/elements/1.1/"/>
    <ds:schemaRef ds:uri="http://purl.org/dc/terms/"/>
    <ds:schemaRef ds:uri="http://schemas.microsoft.com/office/infopath/2007/PartnerControls"/>
    <ds:schemaRef ds:uri="c789009b-da0c-4a5a-8f0b-f9a6c5ce0b99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MOREIRA</dc:creator>
  <cp:lastModifiedBy>BRUNO MOREIRA</cp:lastModifiedBy>
  <dcterms:created xsi:type="dcterms:W3CDTF">2025-11-17T23:01:06Z</dcterms:created>
  <dcterms:modified xsi:type="dcterms:W3CDTF">2025-11-30T00:49:06Z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0x01010088FE562D9E782F4DBF4E96B95D968A6C</vt:lpwstr>
  </property>
</Properties>
</file>