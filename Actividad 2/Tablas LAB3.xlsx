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OneDrive\Desktop\Laboratorio 3 - S&amp;S\"/>
    </mc:Choice>
  </mc:AlternateContent>
  <xr:revisionPtr revIDLastSave="0" documentId="13_ncr:1_{22169A21-FB54-4208-A158-0B184634D424}" xr6:coauthVersionLast="47" xr6:coauthVersionMax="47" xr10:uidLastSave="{00000000-0000-0000-0000-000000000000}"/>
  <bookViews>
    <workbookView xWindow="-98" yWindow="-98" windowWidth="21795" windowHeight="12975" xr2:uid="{0B2D082E-C144-491D-AA07-B3F545B7F7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K6" i="1" s="1"/>
  <c r="L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5" i="1"/>
  <c r="J5" i="1" s="1"/>
  <c r="C6" i="1"/>
  <c r="E6" i="1" s="1"/>
  <c r="F6" i="1" s="1"/>
  <c r="C7" i="1"/>
  <c r="E7" i="1" s="1"/>
  <c r="F7" i="1" s="1"/>
  <c r="C8" i="1"/>
  <c r="E8" i="1" s="1"/>
  <c r="F8" i="1" s="1"/>
  <c r="C9" i="1"/>
  <c r="E9" i="1" s="1"/>
  <c r="F9" i="1" s="1"/>
  <c r="C10" i="1"/>
  <c r="E10" i="1" s="1"/>
  <c r="F10" i="1" s="1"/>
  <c r="C11" i="1"/>
  <c r="D11" i="1" s="1"/>
  <c r="C12" i="1"/>
  <c r="D12" i="1" s="1"/>
  <c r="C13" i="1"/>
  <c r="D13" i="1" s="1"/>
  <c r="C14" i="1"/>
  <c r="D14" i="1" s="1"/>
  <c r="C5" i="1"/>
  <c r="D5" i="1" s="1"/>
  <c r="E12" i="1" l="1"/>
  <c r="F12" i="1" s="1"/>
  <c r="E11" i="1"/>
  <c r="F11" i="1" s="1"/>
  <c r="K14" i="1"/>
  <c r="L14" i="1" s="1"/>
  <c r="K12" i="1"/>
  <c r="L12" i="1" s="1"/>
  <c r="K11" i="1"/>
  <c r="L11" i="1" s="1"/>
  <c r="K10" i="1"/>
  <c r="L10" i="1" s="1"/>
  <c r="K8" i="1"/>
  <c r="L8" i="1" s="1"/>
  <c r="K7" i="1"/>
  <c r="L7" i="1" s="1"/>
  <c r="E5" i="1"/>
  <c r="F5" i="1" s="1"/>
  <c r="E14" i="1"/>
  <c r="F14" i="1" s="1"/>
  <c r="K5" i="1"/>
  <c r="L5" i="1" s="1"/>
  <c r="K13" i="1"/>
  <c r="L13" i="1" s="1"/>
  <c r="K9" i="1"/>
  <c r="L9" i="1" s="1"/>
  <c r="E13" i="1"/>
  <c r="F13" i="1" s="1"/>
  <c r="D10" i="1"/>
  <c r="J6" i="1"/>
  <c r="D9" i="1"/>
  <c r="D8" i="1"/>
  <c r="D7" i="1"/>
  <c r="D6" i="1"/>
</calcChain>
</file>

<file path=xl/sharedStrings.xml><?xml version="1.0" encoding="utf-8"?>
<sst xmlns="http://schemas.openxmlformats.org/spreadsheetml/2006/main" count="82" uniqueCount="66">
  <si>
    <t>Tabla 1:</t>
  </si>
  <si>
    <t>f[Hz]</t>
  </si>
  <si>
    <t>ꞷ[rad/s]</t>
  </si>
  <si>
    <r>
      <t>|H(</t>
    </r>
    <r>
      <rPr>
        <sz val="11"/>
        <color theme="1"/>
        <rFont val="Aptos Narrow"/>
        <family val="2"/>
      </rPr>
      <t>Ϳꞷ</t>
    </r>
    <r>
      <rPr>
        <sz val="11"/>
        <color theme="1"/>
        <rFont val="Aptos Narrow"/>
        <family val="2"/>
        <scheme val="minor"/>
      </rPr>
      <t>)|</t>
    </r>
  </si>
  <si>
    <t>φ=argH(Ϳꞷ)[rad]</t>
  </si>
  <si>
    <t>φ/ꞷ[s]</t>
  </si>
  <si>
    <t>Tabla 2:</t>
  </si>
  <si>
    <t>A entrada [V]</t>
  </si>
  <si>
    <t>A salida [V]</t>
  </si>
  <si>
    <t>Delay [S]</t>
  </si>
  <si>
    <t>R</t>
  </si>
  <si>
    <t>C</t>
  </si>
  <si>
    <t>Delay [mS]</t>
  </si>
  <si>
    <t>0000</t>
  </si>
  <si>
    <t>0001</t>
  </si>
  <si>
    <t>0003</t>
  </si>
  <si>
    <t>0005</t>
  </si>
  <si>
    <t>0006</t>
  </si>
  <si>
    <t>0007</t>
  </si>
  <si>
    <t>0008</t>
  </si>
  <si>
    <t>0009</t>
  </si>
  <si>
    <t>1m</t>
  </si>
  <si>
    <t>400u</t>
  </si>
  <si>
    <t>0010</t>
  </si>
  <si>
    <t>0011</t>
  </si>
  <si>
    <t>0012</t>
  </si>
  <si>
    <t>0013</t>
  </si>
  <si>
    <t>0014</t>
  </si>
  <si>
    <t>A mano</t>
  </si>
  <si>
    <t>500u</t>
  </si>
  <si>
    <t xml:space="preserve"> 0004</t>
  </si>
  <si>
    <t>980m</t>
  </si>
  <si>
    <t>foto(0001)</t>
  </si>
  <si>
    <t>360u</t>
  </si>
  <si>
    <t>840m</t>
  </si>
  <si>
    <t>528m</t>
  </si>
  <si>
    <t>240u</t>
  </si>
  <si>
    <t>180u</t>
  </si>
  <si>
    <t>296m</t>
  </si>
  <si>
    <t>168m</t>
  </si>
  <si>
    <t>84u</t>
  </si>
  <si>
    <t>104m</t>
  </si>
  <si>
    <t>24u</t>
  </si>
  <si>
    <t>4m</t>
  </si>
  <si>
    <t>800u</t>
  </si>
  <si>
    <t>960m</t>
  </si>
  <si>
    <t>300u</t>
  </si>
  <si>
    <t>200u</t>
  </si>
  <si>
    <t>944m</t>
  </si>
  <si>
    <t>0015</t>
  </si>
  <si>
    <t>952m</t>
  </si>
  <si>
    <t>100u</t>
  </si>
  <si>
    <t>0016</t>
  </si>
  <si>
    <t>844m</t>
  </si>
  <si>
    <t>50u</t>
  </si>
  <si>
    <t>0017</t>
  </si>
  <si>
    <t>640m</t>
  </si>
  <si>
    <t>48u</t>
  </si>
  <si>
    <t>0018</t>
  </si>
  <si>
    <t>0019</t>
  </si>
  <si>
    <t>36u</t>
  </si>
  <si>
    <t>412m</t>
  </si>
  <si>
    <t>0020</t>
  </si>
  <si>
    <t>12u</t>
  </si>
  <si>
    <t>232m</t>
  </si>
  <si>
    <t xml:space="preserve">A mano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</si>
</sst>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badi"/>
      <family val="2"/>
      <charset val="1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u/>
      <sz val="11"/>
      <color theme="1"/>
      <name val="Aptos Narrow"/>
      <family val="2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64" fontId="0" fillId="0" borderId="8" xfId="0" applyNumberFormat="1" applyBorder="1" applyAlignment="1">
      <alignment horizontal="center" vertical="center"/>
    </xf>
    <xf numFmtId="11" fontId="0" fillId="0" borderId="0" xfId="0" applyNumberFormat="1"/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/>
    <xf numFmtId="0" fontId="5" fillId="0" borderId="0" xfId="0" applyFont="1"/>
    <xf numFmtId="0" fontId="0" fillId="0" borderId="8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0" fillId="3" borderId="0" xfId="0" applyNumberFormat="1" applyFill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43A0-2A90-4A4E-A1BA-B6F7298B310B}">
  <dimension ref="A1:N31"/>
  <sheetViews>
    <sheetView tabSelected="1" topLeftCell="A6" zoomScale="117" workbookViewId="0">
      <selection activeCell="C17" sqref="C17"/>
    </sheetView>
  </sheetViews>
  <sheetFormatPr baseColWidth="10" defaultRowHeight="14.25" x14ac:dyDescent="0.45"/>
  <cols>
    <col min="2" max="2" width="10.73046875" bestFit="1" customWidth="1"/>
    <col min="3" max="3" width="14.33203125" customWidth="1"/>
    <col min="4" max="4" width="14.6640625" customWidth="1"/>
    <col min="5" max="5" width="14.33203125" customWidth="1"/>
    <col min="6" max="6" width="12.33203125" bestFit="1" customWidth="1"/>
    <col min="8" max="8" width="10.73046875" bestFit="1" customWidth="1"/>
    <col min="9" max="9" width="12.33203125" bestFit="1" customWidth="1"/>
    <col min="10" max="10" width="10.73046875" bestFit="1" customWidth="1"/>
    <col min="11" max="11" width="15" customWidth="1"/>
    <col min="12" max="12" width="12.33203125" bestFit="1" customWidth="1"/>
  </cols>
  <sheetData>
    <row r="1" spans="2:12" x14ac:dyDescent="0.45">
      <c r="C1" s="1" t="s">
        <v>10</v>
      </c>
      <c r="D1" s="1" t="s">
        <v>11</v>
      </c>
      <c r="I1" s="1" t="s">
        <v>10</v>
      </c>
      <c r="J1" s="1" t="s">
        <v>11</v>
      </c>
    </row>
    <row r="2" spans="2:12" x14ac:dyDescent="0.45">
      <c r="B2" t="s">
        <v>0</v>
      </c>
      <c r="C2" s="17">
        <v>1660</v>
      </c>
      <c r="D2" s="17">
        <v>2.2000000000000001E-6</v>
      </c>
      <c r="H2" t="s">
        <v>6</v>
      </c>
      <c r="I2" s="17">
        <v>160</v>
      </c>
      <c r="J2" s="17">
        <v>2.2000000000000001E-6</v>
      </c>
    </row>
    <row r="3" spans="2:12" ht="14.65" thickBot="1" x14ac:dyDescent="0.5"/>
    <row r="4" spans="2:12" ht="14.65" x14ac:dyDescent="0.45">
      <c r="B4" s="3" t="s">
        <v>1</v>
      </c>
      <c r="C4" s="4" t="s">
        <v>2</v>
      </c>
      <c r="D4" s="5" t="s">
        <v>3</v>
      </c>
      <c r="E4" s="6" t="s">
        <v>4</v>
      </c>
      <c r="F4" s="7" t="s">
        <v>5</v>
      </c>
      <c r="H4" s="3" t="s">
        <v>1</v>
      </c>
      <c r="I4" s="4" t="s">
        <v>2</v>
      </c>
      <c r="J4" s="5" t="s">
        <v>3</v>
      </c>
      <c r="K4" s="6" t="s">
        <v>4</v>
      </c>
      <c r="L4" s="7" t="s">
        <v>5</v>
      </c>
    </row>
    <row r="5" spans="2:12" x14ac:dyDescent="0.45">
      <c r="B5" s="8">
        <v>5</v>
      </c>
      <c r="C5" s="14">
        <f>B5*2*PI()</f>
        <v>31.415926535897931</v>
      </c>
      <c r="D5" s="18">
        <f>1/(SQRT(1+(C5^2)*((C$2*D$2)^2)))</f>
        <v>0.99348267448078464</v>
      </c>
      <c r="E5" s="13">
        <f>-ATAN2(1/(C$2*D$2),C5)</f>
        <v>-0.11423149393916035</v>
      </c>
      <c r="F5" s="15">
        <f>E5/C5</f>
        <v>-3.6361013834378506E-3</v>
      </c>
      <c r="H5" s="8">
        <v>5</v>
      </c>
      <c r="I5" s="14">
        <f>H5*2*PI()</f>
        <v>31.415926535897931</v>
      </c>
      <c r="J5" s="18">
        <f>1/(SQRT(1+(I5^2)*((I$2*J$2)^2)))</f>
        <v>0.99993886143415789</v>
      </c>
      <c r="K5" s="13">
        <f>-ATAN2(1/(I$2*J$2),I5)</f>
        <v>-1.1057955402307491E-2</v>
      </c>
      <c r="L5" s="15">
        <f>K5/I5</f>
        <v>-3.5198565255339307E-4</v>
      </c>
    </row>
    <row r="6" spans="2:12" x14ac:dyDescent="0.45">
      <c r="B6" s="8">
        <v>10</v>
      </c>
      <c r="C6" s="14">
        <f t="shared" ref="C6:C14" si="0">B6*2*PI()</f>
        <v>62.831853071795862</v>
      </c>
      <c r="D6" s="18">
        <f t="shared" ref="D6:D14" si="1">1/(SQRT(1+(C6^2)*((C$2*D$2)^2)))</f>
        <v>0.97466962090949838</v>
      </c>
      <c r="E6" s="13">
        <f t="shared" ref="E6:E14" si="2">-ATAN2(1/(C$2*D$2),C6)</f>
        <v>-0.22555728932655494</v>
      </c>
      <c r="F6" s="15">
        <f t="shared" ref="F6:F14" si="3">E6/C6</f>
        <v>-3.5898557546730023E-3</v>
      </c>
      <c r="H6" s="8">
        <v>10</v>
      </c>
      <c r="I6" s="14">
        <f t="shared" ref="I6:I14" si="4">H6*2*PI()</f>
        <v>62.831853071795862</v>
      </c>
      <c r="J6" s="18">
        <f t="shared" ref="J6:J14" si="5">1/(SQRT(1+(I6^2)*((I$2*J$2)^2)))</f>
        <v>0.999755512997336</v>
      </c>
      <c r="K6" s="13">
        <f t="shared" ref="K6:K14" si="6">-ATAN2(1/(I$2*J$2),I6)</f>
        <v>-2.2113207168083827E-2</v>
      </c>
      <c r="L6" s="15">
        <f t="shared" ref="L6:L13" si="7">K6/I6</f>
        <v>-3.5194262284156738E-4</v>
      </c>
    </row>
    <row r="7" spans="2:12" x14ac:dyDescent="0.45">
      <c r="B7" s="8">
        <v>20</v>
      </c>
      <c r="C7" s="14">
        <f t="shared" si="0"/>
        <v>125.66370614359172</v>
      </c>
      <c r="D7" s="18">
        <f t="shared" si="1"/>
        <v>0.9088614300680784</v>
      </c>
      <c r="E7" s="13">
        <f t="shared" si="2"/>
        <v>-0.43025017622258066</v>
      </c>
      <c r="F7" s="15">
        <f t="shared" si="3"/>
        <v>-3.4238221155991383E-3</v>
      </c>
      <c r="H7" s="8">
        <v>20</v>
      </c>
      <c r="I7" s="14">
        <f t="shared" si="4"/>
        <v>125.66370614359172</v>
      </c>
      <c r="J7" s="18">
        <f t="shared" si="5"/>
        <v>0.99902312651843284</v>
      </c>
      <c r="K7" s="13">
        <f t="shared" si="6"/>
        <v>-4.4204809013913555E-2</v>
      </c>
      <c r="L7" s="15">
        <f t="shared" si="7"/>
        <v>-3.5177069314987571E-4</v>
      </c>
    </row>
    <row r="8" spans="2:12" x14ac:dyDescent="0.45">
      <c r="B8" s="8">
        <v>50</v>
      </c>
      <c r="C8" s="14">
        <f t="shared" si="0"/>
        <v>314.15926535897933</v>
      </c>
      <c r="D8" s="18">
        <f t="shared" si="1"/>
        <v>0.65705356711494778</v>
      </c>
      <c r="E8" s="13">
        <f t="shared" si="2"/>
        <v>-0.8538928015189905</v>
      </c>
      <c r="F8" s="15">
        <f t="shared" si="3"/>
        <v>-2.71802520464668E-3</v>
      </c>
      <c r="H8" s="8">
        <v>50</v>
      </c>
      <c r="I8" s="14">
        <f t="shared" si="4"/>
        <v>314.15926535897933</v>
      </c>
      <c r="J8" s="18">
        <f t="shared" si="5"/>
        <v>0.99394109639309625</v>
      </c>
      <c r="K8" s="13">
        <f t="shared" si="6"/>
        <v>-0.11013656883347861</v>
      </c>
      <c r="L8" s="15">
        <f t="shared" si="7"/>
        <v>-3.5057558690057805E-4</v>
      </c>
    </row>
    <row r="9" spans="2:12" x14ac:dyDescent="0.45">
      <c r="B9" s="8">
        <v>100</v>
      </c>
      <c r="C9" s="14">
        <f t="shared" si="0"/>
        <v>628.31853071795865</v>
      </c>
      <c r="D9" s="18">
        <f t="shared" si="1"/>
        <v>0.39951201082486282</v>
      </c>
      <c r="E9" s="13">
        <f t="shared" si="2"/>
        <v>-1.1598118587451396</v>
      </c>
      <c r="F9" s="15">
        <f t="shared" si="3"/>
        <v>-1.8458979037588804E-3</v>
      </c>
      <c r="H9" s="8">
        <v>100</v>
      </c>
      <c r="I9" s="14">
        <f t="shared" si="4"/>
        <v>628.31853071795865</v>
      </c>
      <c r="J9" s="18">
        <f t="shared" si="5"/>
        <v>0.97640452151720181</v>
      </c>
      <c r="K9" s="13">
        <f t="shared" si="6"/>
        <v>-0.2176642272061769</v>
      </c>
      <c r="L9" s="15">
        <f t="shared" si="7"/>
        <v>-3.4642337694140458E-4</v>
      </c>
    </row>
    <row r="10" spans="2:12" x14ac:dyDescent="0.45">
      <c r="B10" s="8">
        <v>200</v>
      </c>
      <c r="C10" s="14">
        <f t="shared" si="0"/>
        <v>1256.6370614359173</v>
      </c>
      <c r="D10" s="18">
        <f t="shared" si="1"/>
        <v>0.21290522289704045</v>
      </c>
      <c r="E10" s="13">
        <f t="shared" si="2"/>
        <v>-1.3562489309410113</v>
      </c>
      <c r="F10" s="15">
        <f t="shared" si="3"/>
        <v>-1.0792686071118027E-3</v>
      </c>
      <c r="H10" s="8">
        <v>200</v>
      </c>
      <c r="I10" s="14">
        <f t="shared" si="4"/>
        <v>1256.6370614359173</v>
      </c>
      <c r="J10" s="18">
        <f t="shared" si="5"/>
        <v>0.91452567747902469</v>
      </c>
      <c r="K10" s="13">
        <f t="shared" si="6"/>
        <v>-0.41646249821715675</v>
      </c>
      <c r="L10" s="15">
        <f t="shared" si="7"/>
        <v>-3.3141032601830071E-4</v>
      </c>
    </row>
    <row r="11" spans="2:12" x14ac:dyDescent="0.45">
      <c r="B11" s="8">
        <v>500</v>
      </c>
      <c r="C11" s="14">
        <f t="shared" si="0"/>
        <v>3141.5926535897929</v>
      </c>
      <c r="D11" s="18">
        <f t="shared" si="1"/>
        <v>8.6831227078373305E-2</v>
      </c>
      <c r="E11" s="13">
        <f t="shared" si="2"/>
        <v>-1.4838556148255002</v>
      </c>
      <c r="F11" s="15">
        <f t="shared" si="3"/>
        <v>-4.7232591186828374E-4</v>
      </c>
      <c r="H11" s="8">
        <v>500</v>
      </c>
      <c r="I11" s="14">
        <f t="shared" si="4"/>
        <v>3141.5926535897929</v>
      </c>
      <c r="J11" s="18">
        <f t="shared" si="5"/>
        <v>0.67072061130538874</v>
      </c>
      <c r="K11" s="13">
        <f t="shared" si="6"/>
        <v>-0.83561641173899748</v>
      </c>
      <c r="L11" s="15">
        <f t="shared" si="7"/>
        <v>-2.6598496491394788E-4</v>
      </c>
    </row>
    <row r="12" spans="2:12" x14ac:dyDescent="0.45">
      <c r="B12" s="8">
        <v>1000</v>
      </c>
      <c r="C12" s="14">
        <f t="shared" si="0"/>
        <v>6283.1853071795858</v>
      </c>
      <c r="D12" s="18">
        <f t="shared" si="1"/>
        <v>4.3538888748081025E-2</v>
      </c>
      <c r="E12" s="13">
        <f t="shared" si="2"/>
        <v>-1.5272436706604877</v>
      </c>
      <c r="F12" s="15">
        <f t="shared" si="3"/>
        <v>-2.4306837949142728E-4</v>
      </c>
      <c r="H12" s="8">
        <v>1000</v>
      </c>
      <c r="I12" s="14">
        <f t="shared" si="4"/>
        <v>6283.1853071795858</v>
      </c>
      <c r="J12" s="18">
        <f t="shared" si="5"/>
        <v>0.41198918075870139</v>
      </c>
      <c r="K12" s="13">
        <f t="shared" si="6"/>
        <v>-1.1461602780430042</v>
      </c>
      <c r="L12" s="15">
        <f t="shared" si="7"/>
        <v>-1.8241707382612529E-4</v>
      </c>
    </row>
    <row r="13" spans="2:12" x14ac:dyDescent="0.45">
      <c r="B13" s="8">
        <v>2000</v>
      </c>
      <c r="C13" s="14">
        <f t="shared" si="0"/>
        <v>12566.370614359172</v>
      </c>
      <c r="D13" s="18">
        <f t="shared" si="1"/>
        <v>2.1784935988521097E-2</v>
      </c>
      <c r="E13" s="13">
        <f t="shared" si="2"/>
        <v>-1.54900966730998</v>
      </c>
      <c r="F13" s="15">
        <f t="shared" si="3"/>
        <v>-1.2326627272475781E-4</v>
      </c>
      <c r="H13" s="8">
        <v>2000</v>
      </c>
      <c r="I13" s="14">
        <f t="shared" si="4"/>
        <v>12566.370614359172</v>
      </c>
      <c r="J13" s="18">
        <f t="shared" si="5"/>
        <v>0.22050764671758041</v>
      </c>
      <c r="K13" s="13">
        <f t="shared" si="6"/>
        <v>-1.3484614292349961</v>
      </c>
      <c r="L13" s="15">
        <f t="shared" si="7"/>
        <v>-1.0730715101575584E-4</v>
      </c>
    </row>
    <row r="14" spans="2:12" ht="14.65" thickBot="1" x14ac:dyDescent="0.5">
      <c r="B14" s="10">
        <v>5000</v>
      </c>
      <c r="C14" s="16">
        <f t="shared" si="0"/>
        <v>31415.926535897932</v>
      </c>
      <c r="D14" s="18">
        <f t="shared" si="1"/>
        <v>8.7157118282187029E-3</v>
      </c>
      <c r="E14" s="13">
        <f t="shared" si="2"/>
        <v>-1.562080504616717</v>
      </c>
      <c r="F14" s="15">
        <f t="shared" si="3"/>
        <v>-4.9722566763446548E-5</v>
      </c>
      <c r="H14" s="10">
        <v>5000</v>
      </c>
      <c r="I14" s="16">
        <f t="shared" si="4"/>
        <v>31415.926535897932</v>
      </c>
      <c r="J14" s="18">
        <f t="shared" si="5"/>
        <v>9.0061460647254205E-2</v>
      </c>
      <c r="K14" s="13">
        <f t="shared" si="6"/>
        <v>-1.4806126705228733</v>
      </c>
      <c r="L14" s="15">
        <f>K14/I14</f>
        <v>-4.7129365063641415E-5</v>
      </c>
    </row>
    <row r="16" spans="2:12" x14ac:dyDescent="0.45">
      <c r="B16" t="s">
        <v>0</v>
      </c>
      <c r="C16" t="s">
        <v>65</v>
      </c>
      <c r="H16" t="s">
        <v>6</v>
      </c>
      <c r="I16" s="23" t="s">
        <v>28</v>
      </c>
    </row>
    <row r="17" spans="1:14" ht="14.65" thickBot="1" x14ac:dyDescent="0.5"/>
    <row r="18" spans="1:14" ht="14.65" x14ac:dyDescent="0.45">
      <c r="B18" s="3" t="s">
        <v>1</v>
      </c>
      <c r="C18" s="4" t="s">
        <v>7</v>
      </c>
      <c r="D18" s="5" t="s">
        <v>8</v>
      </c>
      <c r="E18" s="20" t="s">
        <v>12</v>
      </c>
      <c r="F18" s="7"/>
      <c r="H18" s="3" t="s">
        <v>1</v>
      </c>
      <c r="I18" s="4" t="s">
        <v>7</v>
      </c>
      <c r="J18" s="5" t="s">
        <v>8</v>
      </c>
      <c r="K18" s="6" t="s">
        <v>9</v>
      </c>
    </row>
    <row r="19" spans="1:14" x14ac:dyDescent="0.45">
      <c r="A19" s="26" t="s">
        <v>24</v>
      </c>
      <c r="B19" s="8">
        <v>5</v>
      </c>
      <c r="C19" s="19">
        <v>1</v>
      </c>
      <c r="D19" s="2">
        <v>1</v>
      </c>
      <c r="E19" s="2" t="s">
        <v>43</v>
      </c>
      <c r="F19" s="9"/>
      <c r="H19" s="8">
        <v>5</v>
      </c>
      <c r="I19" s="19">
        <v>1</v>
      </c>
      <c r="J19" s="19">
        <v>1.04</v>
      </c>
      <c r="K19" s="19" t="s">
        <v>21</v>
      </c>
      <c r="L19" s="22" t="s">
        <v>13</v>
      </c>
    </row>
    <row r="20" spans="1:14" x14ac:dyDescent="0.45">
      <c r="A20" s="26" t="s">
        <v>25</v>
      </c>
      <c r="B20" s="8">
        <v>10</v>
      </c>
      <c r="C20" s="19">
        <v>1</v>
      </c>
      <c r="D20" s="2">
        <v>1</v>
      </c>
      <c r="E20" s="2" t="s">
        <v>21</v>
      </c>
      <c r="F20" s="9"/>
      <c r="H20" s="8">
        <v>10</v>
      </c>
      <c r="I20" s="19">
        <v>1</v>
      </c>
      <c r="J20" s="19">
        <v>1.01</v>
      </c>
      <c r="K20" s="19" t="s">
        <v>21</v>
      </c>
      <c r="L20" s="22" t="s">
        <v>14</v>
      </c>
    </row>
    <row r="21" spans="1:14" x14ac:dyDescent="0.45">
      <c r="A21" s="26" t="s">
        <v>26</v>
      </c>
      <c r="B21" s="8">
        <v>20</v>
      </c>
      <c r="C21" s="19">
        <v>1</v>
      </c>
      <c r="D21" s="2">
        <v>1</v>
      </c>
      <c r="E21" s="2" t="s">
        <v>44</v>
      </c>
      <c r="F21" s="9"/>
      <c r="H21" s="8">
        <v>20</v>
      </c>
      <c r="I21" s="19">
        <v>1</v>
      </c>
      <c r="J21" s="19">
        <v>1.04</v>
      </c>
      <c r="K21" s="19" t="s">
        <v>22</v>
      </c>
      <c r="L21" s="22" t="s">
        <v>15</v>
      </c>
    </row>
    <row r="22" spans="1:14" x14ac:dyDescent="0.45">
      <c r="A22" s="26" t="s">
        <v>27</v>
      </c>
      <c r="B22" s="8">
        <v>50</v>
      </c>
      <c r="C22" s="19">
        <v>1</v>
      </c>
      <c r="D22" s="2" t="s">
        <v>45</v>
      </c>
      <c r="E22" s="2" t="s">
        <v>46</v>
      </c>
      <c r="F22" s="9"/>
      <c r="H22" s="8">
        <v>50</v>
      </c>
      <c r="I22" s="19">
        <v>1</v>
      </c>
      <c r="J22" s="19">
        <v>1</v>
      </c>
      <c r="K22" s="19" t="s">
        <v>29</v>
      </c>
      <c r="L22" s="22" t="s">
        <v>30</v>
      </c>
    </row>
    <row r="23" spans="1:14" x14ac:dyDescent="0.45">
      <c r="A23" s="26" t="s">
        <v>49</v>
      </c>
      <c r="B23" s="8">
        <v>100</v>
      </c>
      <c r="C23" s="19">
        <v>1</v>
      </c>
      <c r="D23" s="2" t="s">
        <v>48</v>
      </c>
      <c r="E23" s="2" t="s">
        <v>47</v>
      </c>
      <c r="F23" s="9"/>
      <c r="H23" s="8">
        <v>100</v>
      </c>
      <c r="I23" s="19">
        <v>1</v>
      </c>
      <c r="J23" s="19" t="s">
        <v>31</v>
      </c>
      <c r="K23" s="19" t="s">
        <v>22</v>
      </c>
      <c r="L23" s="22" t="s">
        <v>16</v>
      </c>
      <c r="M23" s="22" t="s">
        <v>32</v>
      </c>
      <c r="N23" s="23"/>
    </row>
    <row r="24" spans="1:14" x14ac:dyDescent="0.45">
      <c r="A24" s="26" t="s">
        <v>52</v>
      </c>
      <c r="B24" s="8">
        <v>200</v>
      </c>
      <c r="C24" s="19">
        <v>1</v>
      </c>
      <c r="D24" s="2" t="s">
        <v>50</v>
      </c>
      <c r="E24" s="2" t="s">
        <v>51</v>
      </c>
      <c r="F24" s="9"/>
      <c r="H24" s="8">
        <v>200</v>
      </c>
      <c r="I24" s="19">
        <v>1</v>
      </c>
      <c r="J24" s="19" t="s">
        <v>34</v>
      </c>
      <c r="K24" s="19" t="s">
        <v>33</v>
      </c>
      <c r="L24" s="22" t="s">
        <v>17</v>
      </c>
    </row>
    <row r="25" spans="1:14" x14ac:dyDescent="0.45">
      <c r="A25" s="26" t="s">
        <v>55</v>
      </c>
      <c r="B25" s="8">
        <v>500</v>
      </c>
      <c r="C25" s="19">
        <v>1</v>
      </c>
      <c r="D25" s="2" t="s">
        <v>53</v>
      </c>
      <c r="E25" s="2" t="s">
        <v>54</v>
      </c>
      <c r="F25" s="9"/>
      <c r="H25" s="8">
        <v>500</v>
      </c>
      <c r="I25" s="19">
        <v>1</v>
      </c>
      <c r="J25" s="19" t="s">
        <v>35</v>
      </c>
      <c r="K25" s="19" t="s">
        <v>36</v>
      </c>
      <c r="L25" s="22" t="s">
        <v>18</v>
      </c>
    </row>
    <row r="26" spans="1:14" x14ac:dyDescent="0.45">
      <c r="A26" s="26" t="s">
        <v>58</v>
      </c>
      <c r="B26" s="8">
        <v>1000</v>
      </c>
      <c r="C26" s="19">
        <v>1</v>
      </c>
      <c r="D26" s="2" t="s">
        <v>56</v>
      </c>
      <c r="E26" s="2" t="s">
        <v>57</v>
      </c>
      <c r="F26" s="9"/>
      <c r="H26" s="8">
        <v>1000</v>
      </c>
      <c r="I26" s="25">
        <v>1</v>
      </c>
      <c r="J26" s="19" t="s">
        <v>38</v>
      </c>
      <c r="K26" s="25" t="s">
        <v>37</v>
      </c>
      <c r="L26" s="22" t="s">
        <v>19</v>
      </c>
    </row>
    <row r="27" spans="1:14" x14ac:dyDescent="0.45">
      <c r="A27" s="26" t="s">
        <v>59</v>
      </c>
      <c r="B27" s="8">
        <v>2000</v>
      </c>
      <c r="C27" s="19">
        <v>1</v>
      </c>
      <c r="D27" s="27" t="s">
        <v>61</v>
      </c>
      <c r="E27" s="2" t="s">
        <v>60</v>
      </c>
      <c r="F27" s="9"/>
      <c r="H27" s="8">
        <v>2000</v>
      </c>
      <c r="I27" s="25">
        <v>1</v>
      </c>
      <c r="J27" s="19" t="s">
        <v>39</v>
      </c>
      <c r="K27" s="19" t="s">
        <v>40</v>
      </c>
      <c r="L27" s="22" t="s">
        <v>20</v>
      </c>
      <c r="M27" s="21"/>
    </row>
    <row r="28" spans="1:14" ht="14.65" thickBot="1" x14ac:dyDescent="0.5">
      <c r="A28" s="26" t="s">
        <v>62</v>
      </c>
      <c r="B28" s="10">
        <v>5000</v>
      </c>
      <c r="C28" s="19">
        <v>1</v>
      </c>
      <c r="D28" s="11" t="s">
        <v>64</v>
      </c>
      <c r="E28" s="11" t="s">
        <v>63</v>
      </c>
      <c r="F28" s="12"/>
      <c r="H28" s="10">
        <v>5000</v>
      </c>
      <c r="I28" s="25">
        <v>1</v>
      </c>
      <c r="J28" s="24" t="s">
        <v>41</v>
      </c>
      <c r="K28" s="24" t="s">
        <v>42</v>
      </c>
      <c r="L28" s="22" t="s">
        <v>23</v>
      </c>
    </row>
    <row r="31" spans="1:14" x14ac:dyDescent="0.45">
      <c r="B31" s="23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8FE562D9E782F4DBF4E96B95D968A6C" ma:contentTypeVersion="15" ma:contentTypeDescription="Crear nuevo documento." ma:contentTypeScope="" ma:versionID="005262b72e0ebcdaedb516d5a6a242e6">
  <xsd:schema xmlns:xsd="http://www.w3.org/2001/XMLSchema" xmlns:xs="http://www.w3.org/2001/XMLSchema" xmlns:p="http://schemas.microsoft.com/office/2006/metadata/properties" xmlns:ns3="fc4e8790-4307-48dd-a35a-1ca47b542f8e" xmlns:ns4="c789009b-da0c-4a5a-8f0b-f9a6c5ce0b99" targetNamespace="http://schemas.microsoft.com/office/2006/metadata/properties" ma:root="true" ma:fieldsID="aa63b33db65bfb9848dd3758c503821d" ns3:_="" ns4:_="">
    <xsd:import namespace="fc4e8790-4307-48dd-a35a-1ca47b542f8e"/>
    <xsd:import namespace="c789009b-da0c-4a5a-8f0b-f9a6c5ce0b9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_activity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DateTaken" minOccurs="0"/>
                <xsd:element ref="ns4:MediaServiceObjectDetectorVersions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e8790-4307-48dd-a35a-1ca47b542f8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89009b-da0c-4a5a-8f0b-f9a6c5ce0b99" elementFormDefault="qualified">
    <xsd:import namespace="http://schemas.microsoft.com/office/2006/documentManagement/types"/>
    <xsd:import namespace="http://schemas.microsoft.com/office/infopath/2007/PartnerControls"/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789009b-da0c-4a5a-8f0b-f9a6c5ce0b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4A1FCF-0C8C-47DF-A755-F7A394AE6F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e8790-4307-48dd-a35a-1ca47b542f8e"/>
    <ds:schemaRef ds:uri="c789009b-da0c-4a5a-8f0b-f9a6c5ce0b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4F5351-61EF-4250-858A-26D9789B16E2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fc4e8790-4307-48dd-a35a-1ca47b542f8e"/>
    <ds:schemaRef ds:uri="http://purl.org/dc/elements/1.1/"/>
    <ds:schemaRef ds:uri="http://purl.org/dc/terms/"/>
    <ds:schemaRef ds:uri="http://schemas.microsoft.com/office/infopath/2007/PartnerControls"/>
    <ds:schemaRef ds:uri="c789009b-da0c-4a5a-8f0b-f9a6c5ce0b9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0EBA563-90FD-47F4-8D87-242D46371E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MOREIRA</dc:creator>
  <cp:lastModifiedBy>BRUNO MOREIRA</cp:lastModifiedBy>
  <dcterms:created xsi:type="dcterms:W3CDTF">2025-11-17T23:01:06Z</dcterms:created>
  <dcterms:modified xsi:type="dcterms:W3CDTF">2025-11-21T13:47:41Z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0x01010088FE562D9E782F4DBF4E96B95D968A6C</vt:lpwstr>
  </property>
</Properties>
</file>